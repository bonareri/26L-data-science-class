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9200" windowHeight="6540" firstSheet="1" activeTab="3"/>
  </bookViews>
  <sheets>
    <sheet name="Statistical_functions" sheetId="3" r:id="rId1"/>
    <sheet name="Conditional_functions" sheetId="4" r:id="rId2"/>
    <sheet name="Conditional_Aggregation" sheetId="5" r:id="rId3"/>
    <sheet name="Text_functions" sheetId="2" r:id="rId4"/>
    <sheet name="VLOOKUP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J7" i="5" l="1"/>
  <c r="J6" i="5"/>
  <c r="J2" i="5"/>
  <c r="J5" i="5"/>
  <c r="J4" i="5"/>
  <c r="K3" i="5"/>
  <c r="J3" i="5"/>
  <c r="L3" i="4"/>
  <c r="L4" i="4"/>
  <c r="L5" i="4"/>
  <c r="L6" i="4"/>
  <c r="L7" i="4"/>
  <c r="L8" i="4"/>
  <c r="L2" i="4"/>
  <c r="K3" i="4"/>
  <c r="K4" i="4"/>
  <c r="K5" i="4"/>
  <c r="K6" i="4"/>
  <c r="K7" i="4"/>
  <c r="K8" i="4"/>
  <c r="K2" i="4"/>
  <c r="J3" i="4"/>
  <c r="J4" i="4"/>
  <c r="J5" i="4"/>
  <c r="J6" i="4"/>
  <c r="J7" i="4"/>
  <c r="J8" i="4"/>
  <c r="J2" i="4"/>
  <c r="I3" i="4"/>
  <c r="I4" i="4"/>
  <c r="I5" i="4"/>
  <c r="I6" i="4"/>
  <c r="I7" i="4"/>
  <c r="I8" i="4"/>
  <c r="I2" i="4"/>
  <c r="H3" i="4"/>
  <c r="H4" i="4"/>
  <c r="H5" i="4"/>
  <c r="H6" i="4"/>
  <c r="H7" i="4"/>
  <c r="H8" i="4"/>
  <c r="H2" i="4"/>
  <c r="G3" i="4"/>
  <c r="G4" i="4"/>
  <c r="G5" i="4"/>
  <c r="G6" i="4"/>
  <c r="G7" i="4"/>
  <c r="G8" i="4"/>
  <c r="G2" i="4"/>
  <c r="B12" i="3"/>
  <c r="B11" i="3"/>
  <c r="B9" i="3"/>
  <c r="E3" i="3"/>
  <c r="E4" i="3"/>
  <c r="E5" i="3"/>
  <c r="B10" i="3" s="1"/>
  <c r="E6" i="3"/>
  <c r="E2" i="3"/>
  <c r="B8" i="3" l="1"/>
</calcChain>
</file>

<file path=xl/sharedStrings.xml><?xml version="1.0" encoding="utf-8"?>
<sst xmlns="http://schemas.openxmlformats.org/spreadsheetml/2006/main" count="204" uniqueCount="165">
  <si>
    <t>Price</t>
  </si>
  <si>
    <t>Product ID</t>
  </si>
  <si>
    <t>Product Name</t>
  </si>
  <si>
    <t>Price (KES)</t>
  </si>
  <si>
    <t>P001</t>
  </si>
  <si>
    <t>Laptop Bag</t>
  </si>
  <si>
    <t>P002</t>
  </si>
  <si>
    <t>Wireless Mouse</t>
  </si>
  <si>
    <t>P003</t>
  </si>
  <si>
    <t>USB Flash Drive</t>
  </si>
  <si>
    <t>P004</t>
  </si>
  <si>
    <t>HDMI Cable</t>
  </si>
  <si>
    <t>P005</t>
  </si>
  <si>
    <t>Laptop Stand</t>
  </si>
  <si>
    <t>P006</t>
  </si>
  <si>
    <t>Keyboard</t>
  </si>
  <si>
    <t>P007</t>
  </si>
  <si>
    <t>Headphones</t>
  </si>
  <si>
    <t>P008</t>
  </si>
  <si>
    <t>Webcam</t>
  </si>
  <si>
    <t>Name</t>
  </si>
  <si>
    <t>Spacing Fixed</t>
  </si>
  <si>
    <t>Lower Case</t>
  </si>
  <si>
    <t>Upper Case</t>
  </si>
  <si>
    <t>Proper</t>
  </si>
  <si>
    <t>John Mwangi</t>
  </si>
  <si>
    <t>eVErlyne kimani</t>
  </si>
  <si>
    <t>Everlyne Kimani</t>
  </si>
  <si>
    <t>david odinga</t>
  </si>
  <si>
    <t>David Odinga</t>
  </si>
  <si>
    <t>Beatrice Njeri</t>
  </si>
  <si>
    <t>Samuel Rotich</t>
  </si>
  <si>
    <t>mary-anne wambui</t>
  </si>
  <si>
    <t>Mary-Anne Wambui</t>
  </si>
  <si>
    <t>Peter maru</t>
  </si>
  <si>
    <t>Peter Maru</t>
  </si>
  <si>
    <t>Grace Achieng</t>
  </si>
  <si>
    <t>JOSEPH atieno</t>
  </si>
  <si>
    <t>Joseph Atieno</t>
  </si>
  <si>
    <t>Esther Obiero</t>
  </si>
  <si>
    <t>Kevin ong’ayo</t>
  </si>
  <si>
    <t>Kevin Ong’Ayo</t>
  </si>
  <si>
    <t>Winifred Nyokabi</t>
  </si>
  <si>
    <t>Michael Kiptoo</t>
  </si>
  <si>
    <t>Faith wairimu</t>
  </si>
  <si>
    <t>Faith Wairimu</t>
  </si>
  <si>
    <t>Dennis kiplagat</t>
  </si>
  <si>
    <t>Dennis Kiplagat</t>
  </si>
  <si>
    <t>Susan Muthoni</t>
  </si>
  <si>
    <t>Anthony chebet</t>
  </si>
  <si>
    <t>Anthony Chebet</t>
  </si>
  <si>
    <t>Joy kabura</t>
  </si>
  <si>
    <t>Joy Kabura</t>
  </si>
  <si>
    <t>Leonard Chesang</t>
  </si>
  <si>
    <t>Faith-anne mutua</t>
  </si>
  <si>
    <t>Faith-Anne Mutua</t>
  </si>
  <si>
    <t xml:space="preserve">      joHN mwangi</t>
  </si>
  <si>
    <t>Beatrice        njeri</t>
  </si>
  <si>
    <t xml:space="preserve">        Grace achieng</t>
  </si>
  <si>
    <t xml:space="preserve">      Michael kiptoo</t>
  </si>
  <si>
    <t xml:space="preserve">     Susan muthoni</t>
  </si>
  <si>
    <t xml:space="preserve">       Esther obiero</t>
  </si>
  <si>
    <t xml:space="preserve">     Samuel rotich</t>
  </si>
  <si>
    <t xml:space="preserve">     Leonard chesang</t>
  </si>
  <si>
    <t xml:space="preserve"> Winifred nyokabi   </t>
  </si>
  <si>
    <t>Beatrice</t>
  </si>
  <si>
    <t>Samuel</t>
  </si>
  <si>
    <t>Peter</t>
  </si>
  <si>
    <t>Grace</t>
  </si>
  <si>
    <t>Esther</t>
  </si>
  <si>
    <t>Kevin</t>
  </si>
  <si>
    <t>Winifred</t>
  </si>
  <si>
    <t>Michael</t>
  </si>
  <si>
    <t>Faith</t>
  </si>
  <si>
    <t>Dennis</t>
  </si>
  <si>
    <t>Susan</t>
  </si>
  <si>
    <t>Anthony</t>
  </si>
  <si>
    <t>Joy</t>
  </si>
  <si>
    <t>Leonard</t>
  </si>
  <si>
    <t>Full Names</t>
  </si>
  <si>
    <t>Full</t>
  </si>
  <si>
    <t>Names</t>
  </si>
  <si>
    <t>John</t>
  </si>
  <si>
    <t>Mwangi</t>
  </si>
  <si>
    <t>Everlyne</t>
  </si>
  <si>
    <t>Kimani</t>
  </si>
  <si>
    <t>David</t>
  </si>
  <si>
    <t>Odinga</t>
  </si>
  <si>
    <t>Njeri</t>
  </si>
  <si>
    <t>Rotich</t>
  </si>
  <si>
    <t>Mary-Anne</t>
  </si>
  <si>
    <t>Wambui</t>
  </si>
  <si>
    <t>Maru</t>
  </si>
  <si>
    <t>Achieng</t>
  </si>
  <si>
    <t>Joseph</t>
  </si>
  <si>
    <t>Atieno</t>
  </si>
  <si>
    <t>Obiero</t>
  </si>
  <si>
    <t>Ong’Ayo</t>
  </si>
  <si>
    <t>Nyokabi</t>
  </si>
  <si>
    <t>Kiptoo</t>
  </si>
  <si>
    <t>Wairimu</t>
  </si>
  <si>
    <t>Kiplagat</t>
  </si>
  <si>
    <t>Muthoni</t>
  </si>
  <si>
    <t>Chebet</t>
  </si>
  <si>
    <t>Kabura</t>
  </si>
  <si>
    <t>Chesang</t>
  </si>
  <si>
    <t>Faith-Anne</t>
  </si>
  <si>
    <t>Mutua</t>
  </si>
  <si>
    <t>Combine Names</t>
  </si>
  <si>
    <t>Product</t>
  </si>
  <si>
    <t>Category</t>
  </si>
  <si>
    <t>Units Sold</t>
  </si>
  <si>
    <t>Unit Price</t>
  </si>
  <si>
    <t>Total Sales</t>
  </si>
  <si>
    <t>Region</t>
  </si>
  <si>
    <t>Salesperson</t>
  </si>
  <si>
    <t>Discount Code</t>
  </si>
  <si>
    <t>Laptop</t>
  </si>
  <si>
    <t>Electronics</t>
  </si>
  <si>
    <t>Nairobi</t>
  </si>
  <si>
    <t>Angela</t>
  </si>
  <si>
    <t>DISC10</t>
  </si>
  <si>
    <t>Phone</t>
  </si>
  <si>
    <t>Mombasa</t>
  </si>
  <si>
    <t>Brian</t>
  </si>
  <si>
    <t>N/A</t>
  </si>
  <si>
    <t>Accessories</t>
  </si>
  <si>
    <t>Kisumu</t>
  </si>
  <si>
    <t>ERR1</t>
  </si>
  <si>
    <t>Printer</t>
  </si>
  <si>
    <t>Eldoret</t>
  </si>
  <si>
    <t>Diana</t>
  </si>
  <si>
    <t>DISC20</t>
  </si>
  <si>
    <t>Mouse</t>
  </si>
  <si>
    <t>Chris</t>
  </si>
  <si>
    <t>###</t>
  </si>
  <si>
    <t>Total Sales overall</t>
  </si>
  <si>
    <t>Average Unit Price</t>
  </si>
  <si>
    <t>Best or worst sales</t>
  </si>
  <si>
    <t>Math</t>
  </si>
  <si>
    <t>Attendance %</t>
  </si>
  <si>
    <t>Discipline Cases</t>
  </si>
  <si>
    <t>Kibet</t>
  </si>
  <si>
    <t>Bahati</t>
  </si>
  <si>
    <t>Otieno</t>
  </si>
  <si>
    <t>Wanjiku</t>
  </si>
  <si>
    <t>Fee Balance</t>
  </si>
  <si>
    <t>Score Entry</t>
  </si>
  <si>
    <t>ERR</t>
  </si>
  <si>
    <t>Pass or Fail</t>
  </si>
  <si>
    <t>Grade</t>
  </si>
  <si>
    <t>Good Student</t>
  </si>
  <si>
    <t>Academic Risk</t>
  </si>
  <si>
    <t>Fee Clearance</t>
  </si>
  <si>
    <t>Score check</t>
  </si>
  <si>
    <t>Tablet</t>
  </si>
  <si>
    <t>DISC5</t>
  </si>
  <si>
    <t>Total Units Sold in Electronics</t>
  </si>
  <si>
    <t>Units Sold in Nairobi</t>
  </si>
  <si>
    <t>Count Accessories Products</t>
  </si>
  <si>
    <t>how many sales Angela made in Nairobi</t>
  </si>
  <si>
    <t>Average Unit Price of Accessories</t>
  </si>
  <si>
    <t>Total Revenue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</si>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</sst>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08" workbookViewId="0">
      <selection activeCell="B12" sqref="B12"/>
    </sheetView>
  </sheetViews>
  <sheetFormatPr defaultRowHeight="14.5" x14ac:dyDescent="0.35"/>
  <cols>
    <col min="1" max="1" width="18.36328125" customWidth="1"/>
    <col min="2" max="2" width="10.36328125" bestFit="1" customWidth="1"/>
    <col min="3" max="3" width="9.1796875" bestFit="1" customWidth="1"/>
    <col min="4" max="4" width="11.6328125" customWidth="1"/>
    <col min="5" max="5" width="9.7265625" bestFit="1" customWidth="1"/>
  </cols>
  <sheetData>
    <row r="1" spans="1:5" x14ac:dyDescent="0.35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</row>
    <row r="2" spans="1:5" x14ac:dyDescent="0.35">
      <c r="A2" s="3" t="s">
        <v>117</v>
      </c>
      <c r="B2" s="3" t="s">
        <v>118</v>
      </c>
      <c r="C2" s="3">
        <v>5</v>
      </c>
      <c r="D2" s="3">
        <v>55000</v>
      </c>
      <c r="E2" s="3">
        <f>C2*D2</f>
        <v>275000</v>
      </c>
    </row>
    <row r="3" spans="1:5" x14ac:dyDescent="0.35">
      <c r="A3" s="3" t="s">
        <v>122</v>
      </c>
      <c r="B3" s="3" t="s">
        <v>118</v>
      </c>
      <c r="C3" s="3">
        <v>12</v>
      </c>
      <c r="D3" s="3">
        <v>20000</v>
      </c>
      <c r="E3" s="3">
        <f t="shared" ref="E3:E6" si="0">C3*D3</f>
        <v>240000</v>
      </c>
    </row>
    <row r="4" spans="1:5" x14ac:dyDescent="0.35">
      <c r="A4" s="3" t="s">
        <v>17</v>
      </c>
      <c r="B4" s="3" t="s">
        <v>126</v>
      </c>
      <c r="C4" s="3">
        <v>20</v>
      </c>
      <c r="D4" s="3">
        <v>2500</v>
      </c>
      <c r="E4" s="3">
        <f t="shared" si="0"/>
        <v>50000</v>
      </c>
    </row>
    <row r="5" spans="1:5" x14ac:dyDescent="0.35">
      <c r="A5" s="3" t="s">
        <v>129</v>
      </c>
      <c r="B5" s="3" t="s">
        <v>118</v>
      </c>
      <c r="C5" s="3"/>
      <c r="D5" s="3">
        <v>18000</v>
      </c>
      <c r="E5" s="3">
        <f t="shared" si="0"/>
        <v>0</v>
      </c>
    </row>
    <row r="6" spans="1:5" x14ac:dyDescent="0.35">
      <c r="A6" s="3" t="s">
        <v>133</v>
      </c>
      <c r="B6" s="3" t="s">
        <v>126</v>
      </c>
      <c r="C6" s="3">
        <v>35</v>
      </c>
      <c r="D6" s="3">
        <v>800</v>
      </c>
      <c r="E6" s="3">
        <f t="shared" si="0"/>
        <v>28000</v>
      </c>
    </row>
    <row r="8" spans="1:5" x14ac:dyDescent="0.35">
      <c r="A8" t="s">
        <v>136</v>
      </c>
      <c r="B8">
        <f>SUM(E2:E6)</f>
        <v>593000</v>
      </c>
    </row>
    <row r="9" spans="1:5" x14ac:dyDescent="0.35">
      <c r="A9" t="s">
        <v>137</v>
      </c>
      <c r="B9">
        <f>AVERAGE(D2:D6)</f>
        <v>19260</v>
      </c>
    </row>
    <row r="10" spans="1:5" x14ac:dyDescent="0.35">
      <c r="A10" t="s">
        <v>138</v>
      </c>
      <c r="B10">
        <f>MAX(E2:E6)</f>
        <v>275000</v>
      </c>
    </row>
    <row r="11" spans="1:5" x14ac:dyDescent="0.35">
      <c r="A11" t="s">
        <v>163</v>
      </c>
      <c r="B11">
        <f>COUNT(C2:C6)</f>
        <v>4</v>
      </c>
    </row>
    <row r="12" spans="1:5" x14ac:dyDescent="0.35">
      <c r="A12" t="s">
        <v>164</v>
      </c>
      <c r="B12">
        <f>COUNTA(C2:C6)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M10" sqref="M10"/>
    </sheetView>
  </sheetViews>
  <sheetFormatPr defaultRowHeight="14.5" x14ac:dyDescent="0.35"/>
  <cols>
    <col min="1" max="1" width="10" bestFit="1" customWidth="1"/>
    <col min="3" max="3" width="13" customWidth="1"/>
    <col min="4" max="4" width="16.1796875" customWidth="1"/>
    <col min="5" max="5" width="13" customWidth="1"/>
    <col min="6" max="6" width="11.90625" customWidth="1"/>
    <col min="7" max="7" width="13.6328125" customWidth="1"/>
    <col min="9" max="9" width="12.26953125" customWidth="1"/>
    <col min="10" max="10" width="14.36328125" customWidth="1"/>
    <col min="11" max="11" width="14" customWidth="1"/>
    <col min="12" max="12" width="11.08984375" customWidth="1"/>
  </cols>
  <sheetData>
    <row r="1" spans="1:12" ht="22" customHeight="1" x14ac:dyDescent="0.35">
      <c r="A1" s="2" t="s">
        <v>20</v>
      </c>
      <c r="B1" s="2" t="s">
        <v>139</v>
      </c>
      <c r="C1" s="2" t="s">
        <v>140</v>
      </c>
      <c r="D1" s="2" t="s">
        <v>141</v>
      </c>
      <c r="E1" s="2" t="s">
        <v>146</v>
      </c>
      <c r="F1" s="2" t="s">
        <v>147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</row>
    <row r="2" spans="1:12" x14ac:dyDescent="0.35">
      <c r="A2" s="1" t="s">
        <v>93</v>
      </c>
      <c r="B2" s="1">
        <v>78</v>
      </c>
      <c r="C2" s="1">
        <v>92</v>
      </c>
      <c r="D2" s="1">
        <v>0</v>
      </c>
      <c r="E2" s="1">
        <v>0</v>
      </c>
      <c r="F2" s="1">
        <v>78</v>
      </c>
      <c r="G2" t="str">
        <f>IF(B2&gt;=50, "Pass", "Fail")</f>
        <v>Pass</v>
      </c>
      <c r="H2" t="str">
        <f xml:space="preserve"> IF(B2&gt;=80, "A", IF(B2&gt;=70, "B", IF(B2&gt;=60, "C", IF(B2&gt;=50, "D", "Fail"))))</f>
        <v>B</v>
      </c>
      <c r="I2" t="str">
        <f>IF(AND(B2&gt;=50, C2&gt;=50, D2=0), "Excellent", "Review")</f>
        <v>Excellent</v>
      </c>
      <c r="J2" t="str">
        <f>IF(OR(B2&lt;=50, C2&lt;=50), "Risk", "Okay")</f>
        <v>Okay</v>
      </c>
      <c r="K2" t="str">
        <f>IF(NOT(E2&gt;0), "Cleared", "Owes Fees")</f>
        <v>Cleared</v>
      </c>
      <c r="L2" t="b">
        <f>ISNUMBER(F2)</f>
        <v>1</v>
      </c>
    </row>
    <row r="3" spans="1:12" x14ac:dyDescent="0.35">
      <c r="A3" s="1" t="s">
        <v>83</v>
      </c>
      <c r="B3" s="1">
        <v>55</v>
      </c>
      <c r="C3" s="1">
        <v>70</v>
      </c>
      <c r="D3" s="1">
        <v>1</v>
      </c>
      <c r="E3" s="1">
        <v>1500</v>
      </c>
      <c r="F3" s="1">
        <v>60</v>
      </c>
      <c r="G3" t="str">
        <f t="shared" ref="G3:G8" si="0">IF(B3&gt;=50, "Pass", "Fail")</f>
        <v>Pass</v>
      </c>
      <c r="H3" t="str">
        <f t="shared" ref="H3:H8" si="1" xml:space="preserve"> IF(B3&gt;=80, "A", IF(B3&gt;=70, "B", IF(B3&gt;=60, "C", IF(B3&gt;=50, "D", "Fail"))))</f>
        <v>D</v>
      </c>
      <c r="I3" t="str">
        <f t="shared" ref="I3:I8" si="2">IF(AND(B3&gt;=50, C3&gt;=50, D3=0), "Excellent", "Review")</f>
        <v>Review</v>
      </c>
      <c r="J3" t="str">
        <f t="shared" ref="J3:J8" si="3">IF(OR(B3&lt;=50, C3&lt;=50), "Risk", "Okay")</f>
        <v>Okay</v>
      </c>
      <c r="K3" t="str">
        <f t="shared" ref="K3:K8" si="4">IF(NOT(E3&gt;0), "Cleared", "Owes Fees")</f>
        <v>Owes Fees</v>
      </c>
      <c r="L3" t="b">
        <f t="shared" ref="L3:L8" si="5">ISNUMBER(F3)</f>
        <v>1</v>
      </c>
    </row>
    <row r="4" spans="1:12" x14ac:dyDescent="0.35">
      <c r="A4" s="1" t="s">
        <v>88</v>
      </c>
      <c r="B4" s="1">
        <v>88</v>
      </c>
      <c r="C4" s="1">
        <v>96</v>
      </c>
      <c r="D4" s="1">
        <v>0</v>
      </c>
      <c r="E4" s="1">
        <v>0</v>
      </c>
      <c r="F4" s="1">
        <v>88</v>
      </c>
      <c r="G4" t="str">
        <f t="shared" si="0"/>
        <v>Pass</v>
      </c>
      <c r="H4" t="str">
        <f t="shared" si="1"/>
        <v>A</v>
      </c>
      <c r="I4" t="str">
        <f t="shared" si="2"/>
        <v>Excellent</v>
      </c>
      <c r="J4" t="str">
        <f t="shared" si="3"/>
        <v>Okay</v>
      </c>
      <c r="K4" t="str">
        <f t="shared" si="4"/>
        <v>Cleared</v>
      </c>
      <c r="L4" t="b">
        <f t="shared" si="5"/>
        <v>1</v>
      </c>
    </row>
    <row r="5" spans="1:12" x14ac:dyDescent="0.35">
      <c r="A5" s="1" t="s">
        <v>142</v>
      </c>
      <c r="B5" s="1">
        <v>46</v>
      </c>
      <c r="C5" s="1">
        <v>48</v>
      </c>
      <c r="D5" s="1">
        <v>3</v>
      </c>
      <c r="E5" s="1">
        <v>500</v>
      </c>
      <c r="F5" s="1" t="s">
        <v>148</v>
      </c>
      <c r="G5" t="str">
        <f t="shared" si="0"/>
        <v>Fail</v>
      </c>
      <c r="H5" t="str">
        <f t="shared" si="1"/>
        <v>Fail</v>
      </c>
      <c r="I5" t="str">
        <f t="shared" si="2"/>
        <v>Review</v>
      </c>
      <c r="J5" t="str">
        <f t="shared" si="3"/>
        <v>Risk</v>
      </c>
      <c r="K5" t="str">
        <f t="shared" si="4"/>
        <v>Owes Fees</v>
      </c>
      <c r="L5" t="b">
        <f t="shared" si="5"/>
        <v>0</v>
      </c>
    </row>
    <row r="6" spans="1:12" x14ac:dyDescent="0.35">
      <c r="A6" s="1" t="s">
        <v>143</v>
      </c>
      <c r="B6" s="1">
        <v>91</v>
      </c>
      <c r="C6" s="1">
        <v>98</v>
      </c>
      <c r="D6" s="1">
        <v>0</v>
      </c>
      <c r="E6" s="1">
        <v>0</v>
      </c>
      <c r="F6" s="1" t="s">
        <v>135</v>
      </c>
      <c r="G6" t="str">
        <f t="shared" si="0"/>
        <v>Pass</v>
      </c>
      <c r="H6" t="str">
        <f t="shared" si="1"/>
        <v>A</v>
      </c>
      <c r="I6" t="str">
        <f t="shared" si="2"/>
        <v>Excellent</v>
      </c>
      <c r="J6" t="str">
        <f t="shared" si="3"/>
        <v>Okay</v>
      </c>
      <c r="K6" t="str">
        <f t="shared" si="4"/>
        <v>Cleared</v>
      </c>
      <c r="L6" t="b">
        <f t="shared" si="5"/>
        <v>0</v>
      </c>
    </row>
    <row r="7" spans="1:12" x14ac:dyDescent="0.35">
      <c r="A7" s="1" t="s">
        <v>144</v>
      </c>
      <c r="B7" s="1">
        <v>60</v>
      </c>
      <c r="C7" s="1">
        <v>75</v>
      </c>
      <c r="D7" s="1">
        <v>2</v>
      </c>
      <c r="E7" s="1">
        <v>2000</v>
      </c>
      <c r="F7" s="1">
        <v>40</v>
      </c>
      <c r="G7" t="str">
        <f t="shared" si="0"/>
        <v>Pass</v>
      </c>
      <c r="H7" t="str">
        <f t="shared" si="1"/>
        <v>C</v>
      </c>
      <c r="I7" t="str">
        <f t="shared" si="2"/>
        <v>Review</v>
      </c>
      <c r="J7" t="str">
        <f t="shared" si="3"/>
        <v>Okay</v>
      </c>
      <c r="K7" t="str">
        <f t="shared" si="4"/>
        <v>Owes Fees</v>
      </c>
      <c r="L7" t="b">
        <f t="shared" si="5"/>
        <v>1</v>
      </c>
    </row>
    <row r="8" spans="1:12" x14ac:dyDescent="0.35">
      <c r="A8" s="1" t="s">
        <v>145</v>
      </c>
      <c r="B8" s="1">
        <v>73</v>
      </c>
      <c r="C8" s="1">
        <v>80</v>
      </c>
      <c r="D8" s="1">
        <v>0</v>
      </c>
      <c r="E8" s="1">
        <v>0</v>
      </c>
      <c r="F8" s="1"/>
      <c r="G8" t="str">
        <f t="shared" si="0"/>
        <v>Pass</v>
      </c>
      <c r="H8" t="str">
        <f t="shared" si="1"/>
        <v>B</v>
      </c>
      <c r="I8" t="str">
        <f t="shared" si="2"/>
        <v>Excellent</v>
      </c>
      <c r="J8" t="str">
        <f t="shared" si="3"/>
        <v>Okay</v>
      </c>
      <c r="K8" t="str">
        <f t="shared" si="4"/>
        <v>Cleared</v>
      </c>
      <c r="L8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opLeftCell="B1" workbookViewId="0">
      <selection activeCell="J8" sqref="J8"/>
    </sheetView>
  </sheetViews>
  <sheetFormatPr defaultRowHeight="14.5" x14ac:dyDescent="0.35"/>
  <cols>
    <col min="1" max="1" width="11.36328125" customWidth="1"/>
    <col min="2" max="3" width="11.54296875" customWidth="1"/>
    <col min="5" max="5" width="11.90625" customWidth="1"/>
    <col min="6" max="6" width="12.26953125" customWidth="1"/>
    <col min="7" max="7" width="12.90625" customWidth="1"/>
    <col min="9" max="9" width="34.453125" bestFit="1" customWidth="1"/>
  </cols>
  <sheetData>
    <row r="1" spans="1:11" ht="29" x14ac:dyDescent="0.35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114</v>
      </c>
      <c r="F1" s="2" t="s">
        <v>115</v>
      </c>
      <c r="G1" s="2" t="s">
        <v>116</v>
      </c>
    </row>
    <row r="2" spans="1:11" x14ac:dyDescent="0.35">
      <c r="A2" s="1" t="s">
        <v>133</v>
      </c>
      <c r="B2" s="1" t="s">
        <v>126</v>
      </c>
      <c r="C2" s="1">
        <v>35</v>
      </c>
      <c r="D2" s="1">
        <v>800</v>
      </c>
      <c r="E2" s="1" t="s">
        <v>119</v>
      </c>
      <c r="F2" s="1" t="s">
        <v>134</v>
      </c>
      <c r="G2" s="1" t="s">
        <v>135</v>
      </c>
      <c r="I2" t="s">
        <v>157</v>
      </c>
      <c r="J2">
        <f>SUMIF(B2:B8, "Electronics", C2:C8)</f>
        <v>27</v>
      </c>
    </row>
    <row r="3" spans="1:11" x14ac:dyDescent="0.35">
      <c r="A3" s="1" t="s">
        <v>15</v>
      </c>
      <c r="B3" s="1" t="s">
        <v>126</v>
      </c>
      <c r="C3" s="1">
        <v>18</v>
      </c>
      <c r="D3" s="1">
        <v>1500</v>
      </c>
      <c r="E3" s="1" t="s">
        <v>127</v>
      </c>
      <c r="F3" s="1" t="s">
        <v>134</v>
      </c>
      <c r="G3" s="1" t="s">
        <v>125</v>
      </c>
      <c r="I3" t="s">
        <v>158</v>
      </c>
      <c r="J3">
        <f>SUMIFS(C2:C8, E2:E8, "Nairobi")</f>
        <v>47</v>
      </c>
      <c r="K3">
        <f>SUMIFS(C2:C8, E2:E8, "Nairobi", F2:F8, "Angela")</f>
        <v>12</v>
      </c>
    </row>
    <row r="4" spans="1:11" x14ac:dyDescent="0.35">
      <c r="A4" s="1" t="s">
        <v>17</v>
      </c>
      <c r="B4" s="1" t="s">
        <v>126</v>
      </c>
      <c r="C4" s="1">
        <v>20</v>
      </c>
      <c r="D4" s="1">
        <v>2500</v>
      </c>
      <c r="E4" s="1" t="s">
        <v>127</v>
      </c>
      <c r="F4" s="1" t="s">
        <v>120</v>
      </c>
      <c r="G4" s="1" t="s">
        <v>128</v>
      </c>
      <c r="I4" t="s">
        <v>159</v>
      </c>
      <c r="J4">
        <f>COUNTIF(B2:B8, "Accessories")</f>
        <v>3</v>
      </c>
    </row>
    <row r="5" spans="1:11" x14ac:dyDescent="0.35">
      <c r="A5" s="1" t="s">
        <v>129</v>
      </c>
      <c r="B5" s="1" t="s">
        <v>118</v>
      </c>
      <c r="C5" s="1">
        <v>3</v>
      </c>
      <c r="D5" s="1">
        <v>18000</v>
      </c>
      <c r="E5" s="1" t="s">
        <v>130</v>
      </c>
      <c r="F5" s="1" t="s">
        <v>131</v>
      </c>
      <c r="G5" s="1" t="s">
        <v>132</v>
      </c>
      <c r="I5" t="s">
        <v>160</v>
      </c>
      <c r="J5">
        <f>COUNTIFS(F2:F8, "Angela", E2:E8, "Nairobi")</f>
        <v>2</v>
      </c>
    </row>
    <row r="6" spans="1:11" x14ac:dyDescent="0.35">
      <c r="A6" s="1" t="s">
        <v>122</v>
      </c>
      <c r="B6" s="1" t="s">
        <v>118</v>
      </c>
      <c r="C6" s="1">
        <v>12</v>
      </c>
      <c r="D6" s="1">
        <v>20000</v>
      </c>
      <c r="E6" s="1" t="s">
        <v>123</v>
      </c>
      <c r="F6" s="1" t="s">
        <v>124</v>
      </c>
      <c r="G6" s="1" t="s">
        <v>125</v>
      </c>
      <c r="I6" t="s">
        <v>161</v>
      </c>
      <c r="J6">
        <f>AVERAGEIF(B2:B8, "Accessories", D2:D8)</f>
        <v>1600</v>
      </c>
    </row>
    <row r="7" spans="1:11" x14ac:dyDescent="0.35">
      <c r="A7" s="1" t="s">
        <v>155</v>
      </c>
      <c r="B7" s="1" t="s">
        <v>118</v>
      </c>
      <c r="C7" s="1">
        <v>7</v>
      </c>
      <c r="D7" s="1">
        <v>30000</v>
      </c>
      <c r="E7" s="1" t="s">
        <v>119</v>
      </c>
      <c r="F7" s="1" t="s">
        <v>120</v>
      </c>
      <c r="G7" s="1" t="s">
        <v>156</v>
      </c>
      <c r="I7" t="s">
        <v>162</v>
      </c>
      <c r="J7">
        <f>SUMPRODUCT(C2:C8, D2:D8)</f>
        <v>884000</v>
      </c>
    </row>
    <row r="8" spans="1:11" x14ac:dyDescent="0.35">
      <c r="A8" s="1" t="s">
        <v>117</v>
      </c>
      <c r="B8" s="1" t="s">
        <v>118</v>
      </c>
      <c r="C8" s="1">
        <v>5</v>
      </c>
      <c r="D8" s="1">
        <v>55000</v>
      </c>
      <c r="E8" s="1" t="s">
        <v>119</v>
      </c>
      <c r="F8" s="1" t="s">
        <v>120</v>
      </c>
      <c r="G8" s="1" t="s">
        <v>121</v>
      </c>
    </row>
  </sheetData>
  <sortState ref="A2:G8">
    <sortCondition ref="D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10" workbookViewId="0">
      <selection activeCell="D15" sqref="D15"/>
    </sheetView>
  </sheetViews>
  <sheetFormatPr defaultRowHeight="14.5" x14ac:dyDescent="0.35"/>
  <cols>
    <col min="1" max="1" width="17.26953125" bestFit="1" customWidth="1"/>
    <col min="2" max="2" width="25.54296875" customWidth="1"/>
    <col min="3" max="3" width="27.08984375" customWidth="1"/>
    <col min="4" max="4" width="21.90625" customWidth="1"/>
    <col min="5" max="6" width="22.453125" customWidth="1"/>
    <col min="7" max="7" width="20.7265625" customWidth="1"/>
    <col min="8" max="8" width="13.1796875" customWidth="1"/>
    <col min="9" max="9" width="15.1796875" customWidth="1"/>
    <col min="10" max="10" width="18.1796875" customWidth="1"/>
  </cols>
  <sheetData>
    <row r="1" spans="1:10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/>
      <c r="G1" s="6" t="s">
        <v>79</v>
      </c>
      <c r="H1" s="2" t="s">
        <v>80</v>
      </c>
      <c r="I1" s="2" t="s">
        <v>81</v>
      </c>
      <c r="J1" s="2" t="s">
        <v>108</v>
      </c>
    </row>
    <row r="2" spans="1:10" x14ac:dyDescent="0.35">
      <c r="A2" s="3" t="s">
        <v>56</v>
      </c>
      <c r="B2" s="3"/>
      <c r="C2" s="3"/>
      <c r="D2" s="3"/>
      <c r="E2" s="3"/>
      <c r="F2" s="3"/>
      <c r="G2" s="3" t="s">
        <v>25</v>
      </c>
      <c r="H2" t="s">
        <v>82</v>
      </c>
      <c r="I2" t="s">
        <v>83</v>
      </c>
    </row>
    <row r="3" spans="1:10" x14ac:dyDescent="0.35">
      <c r="A3" s="3" t="s">
        <v>26</v>
      </c>
      <c r="B3" s="3"/>
      <c r="C3" s="3"/>
      <c r="D3" s="3"/>
      <c r="E3" s="3"/>
      <c r="F3" s="3"/>
      <c r="G3" s="3" t="s">
        <v>27</v>
      </c>
      <c r="H3" t="s">
        <v>84</v>
      </c>
      <c r="I3" t="s">
        <v>85</v>
      </c>
    </row>
    <row r="4" spans="1:10" x14ac:dyDescent="0.35">
      <c r="A4" s="3" t="s">
        <v>28</v>
      </c>
      <c r="B4" s="3"/>
      <c r="C4" s="3"/>
      <c r="D4" s="3"/>
      <c r="E4" s="3"/>
      <c r="F4" s="3"/>
      <c r="G4" s="3" t="s">
        <v>29</v>
      </c>
      <c r="H4" t="s">
        <v>86</v>
      </c>
      <c r="I4" t="s">
        <v>87</v>
      </c>
    </row>
    <row r="5" spans="1:10" x14ac:dyDescent="0.35">
      <c r="A5" s="3" t="s">
        <v>57</v>
      </c>
      <c r="B5" s="3"/>
      <c r="C5" s="3"/>
      <c r="D5" s="3"/>
      <c r="E5" s="3"/>
      <c r="F5" s="3"/>
      <c r="G5" s="3" t="s">
        <v>30</v>
      </c>
      <c r="H5" t="s">
        <v>65</v>
      </c>
      <c r="I5" t="s">
        <v>88</v>
      </c>
    </row>
    <row r="6" spans="1:10" x14ac:dyDescent="0.35">
      <c r="A6" s="3" t="s">
        <v>62</v>
      </c>
      <c r="B6" s="3"/>
      <c r="C6" s="3"/>
      <c r="D6" s="3"/>
      <c r="E6" s="3"/>
      <c r="F6" s="3"/>
      <c r="G6" s="3" t="s">
        <v>31</v>
      </c>
      <c r="H6" t="s">
        <v>66</v>
      </c>
      <c r="I6" t="s">
        <v>89</v>
      </c>
    </row>
    <row r="7" spans="1:10" x14ac:dyDescent="0.35">
      <c r="A7" s="3" t="s">
        <v>32</v>
      </c>
      <c r="B7" s="3"/>
      <c r="C7" s="3"/>
      <c r="D7" s="3"/>
      <c r="E7" s="3"/>
      <c r="F7" s="3"/>
      <c r="G7" s="3" t="s">
        <v>33</v>
      </c>
      <c r="H7" t="s">
        <v>90</v>
      </c>
      <c r="I7" t="s">
        <v>91</v>
      </c>
    </row>
    <row r="8" spans="1:10" x14ac:dyDescent="0.35">
      <c r="A8" s="3" t="s">
        <v>34</v>
      </c>
      <c r="B8" s="3"/>
      <c r="C8" s="3"/>
      <c r="D8" s="3"/>
      <c r="E8" s="3"/>
      <c r="F8" s="3"/>
      <c r="G8" s="3" t="s">
        <v>35</v>
      </c>
      <c r="H8" t="s">
        <v>67</v>
      </c>
      <c r="I8" t="s">
        <v>92</v>
      </c>
    </row>
    <row r="9" spans="1:10" x14ac:dyDescent="0.35">
      <c r="A9" s="3" t="s">
        <v>58</v>
      </c>
      <c r="B9" s="3"/>
      <c r="C9" s="3"/>
      <c r="D9" s="3"/>
      <c r="E9" s="3"/>
      <c r="F9" s="3"/>
      <c r="G9" s="3" t="s">
        <v>36</v>
      </c>
      <c r="H9" t="s">
        <v>68</v>
      </c>
      <c r="I9" t="s">
        <v>93</v>
      </c>
    </row>
    <row r="10" spans="1:10" x14ac:dyDescent="0.35">
      <c r="A10" s="3" t="s">
        <v>37</v>
      </c>
      <c r="B10" s="3"/>
      <c r="C10" s="3"/>
      <c r="D10" s="3"/>
      <c r="E10" s="3"/>
      <c r="F10" s="3"/>
      <c r="G10" s="3" t="s">
        <v>38</v>
      </c>
      <c r="H10" t="s">
        <v>94</v>
      </c>
      <c r="I10" t="s">
        <v>95</v>
      </c>
    </row>
    <row r="11" spans="1:10" x14ac:dyDescent="0.35">
      <c r="A11" s="3" t="s">
        <v>61</v>
      </c>
      <c r="B11" s="3"/>
      <c r="C11" s="3"/>
      <c r="D11" s="3"/>
      <c r="E11" s="3"/>
      <c r="F11" s="3"/>
      <c r="G11" s="3" t="s">
        <v>39</v>
      </c>
      <c r="H11" t="s">
        <v>69</v>
      </c>
      <c r="I11" t="s">
        <v>96</v>
      </c>
    </row>
    <row r="12" spans="1:10" x14ac:dyDescent="0.35">
      <c r="A12" s="3" t="s">
        <v>40</v>
      </c>
      <c r="B12" s="3"/>
      <c r="C12" s="3"/>
      <c r="D12" s="3"/>
      <c r="E12" s="3"/>
      <c r="F12" s="3"/>
      <c r="G12" s="3" t="s">
        <v>41</v>
      </c>
      <c r="H12" t="s">
        <v>70</v>
      </c>
      <c r="I12" t="s">
        <v>97</v>
      </c>
    </row>
    <row r="13" spans="1:10" x14ac:dyDescent="0.35">
      <c r="A13" s="3" t="s">
        <v>64</v>
      </c>
      <c r="B13" s="3"/>
      <c r="C13" s="3"/>
      <c r="D13" s="3"/>
      <c r="E13" s="3"/>
      <c r="F13" s="3"/>
      <c r="G13" s="3" t="s">
        <v>42</v>
      </c>
      <c r="H13" t="s">
        <v>71</v>
      </c>
      <c r="I13" t="s">
        <v>98</v>
      </c>
    </row>
    <row r="14" spans="1:10" x14ac:dyDescent="0.35">
      <c r="A14" s="3" t="s">
        <v>59</v>
      </c>
      <c r="B14" s="3"/>
      <c r="C14" s="3"/>
      <c r="D14" s="3"/>
      <c r="E14" s="3"/>
      <c r="F14" s="3"/>
      <c r="G14" s="3" t="s">
        <v>43</v>
      </c>
      <c r="H14" t="s">
        <v>72</v>
      </c>
      <c r="I14" t="s">
        <v>99</v>
      </c>
    </row>
    <row r="15" spans="1:10" x14ac:dyDescent="0.35">
      <c r="A15" s="3" t="s">
        <v>44</v>
      </c>
      <c r="B15" s="3"/>
      <c r="C15" s="3"/>
      <c r="D15" s="3"/>
      <c r="E15" s="3"/>
      <c r="F15" s="3"/>
      <c r="G15" s="3" t="s">
        <v>45</v>
      </c>
      <c r="H15" t="s">
        <v>73</v>
      </c>
      <c r="I15" t="s">
        <v>100</v>
      </c>
    </row>
    <row r="16" spans="1:10" x14ac:dyDescent="0.35">
      <c r="A16" s="3" t="s">
        <v>46</v>
      </c>
      <c r="B16" s="3"/>
      <c r="C16" s="3"/>
      <c r="D16" s="3"/>
      <c r="E16" s="3"/>
      <c r="F16" s="3"/>
      <c r="G16" s="3" t="s">
        <v>47</v>
      </c>
      <c r="H16" t="s">
        <v>74</v>
      </c>
      <c r="I16" t="s">
        <v>101</v>
      </c>
    </row>
    <row r="17" spans="1:9" x14ac:dyDescent="0.35">
      <c r="A17" s="3" t="s">
        <v>60</v>
      </c>
      <c r="B17" s="3"/>
      <c r="C17" s="3"/>
      <c r="D17" s="3"/>
      <c r="E17" s="3"/>
      <c r="F17" s="3"/>
      <c r="G17" s="3" t="s">
        <v>48</v>
      </c>
      <c r="H17" t="s">
        <v>75</v>
      </c>
      <c r="I17" t="s">
        <v>102</v>
      </c>
    </row>
    <row r="18" spans="1:9" x14ac:dyDescent="0.35">
      <c r="A18" s="3" t="s">
        <v>49</v>
      </c>
      <c r="B18" s="3"/>
      <c r="C18" s="3"/>
      <c r="D18" s="3"/>
      <c r="E18" s="3"/>
      <c r="F18" s="3"/>
      <c r="G18" s="3" t="s">
        <v>50</v>
      </c>
      <c r="H18" t="s">
        <v>76</v>
      </c>
      <c r="I18" t="s">
        <v>103</v>
      </c>
    </row>
    <row r="19" spans="1:9" x14ac:dyDescent="0.35">
      <c r="A19" s="3" t="s">
        <v>51</v>
      </c>
      <c r="B19" s="3"/>
      <c r="C19" s="3"/>
      <c r="D19" s="3"/>
      <c r="E19" s="3"/>
      <c r="F19" s="3"/>
      <c r="G19" s="3" t="s">
        <v>52</v>
      </c>
      <c r="H19" t="s">
        <v>77</v>
      </c>
      <c r="I19" t="s">
        <v>104</v>
      </c>
    </row>
    <row r="20" spans="1:9" x14ac:dyDescent="0.35">
      <c r="A20" s="3" t="s">
        <v>63</v>
      </c>
      <c r="B20" s="3"/>
      <c r="C20" s="3"/>
      <c r="D20" s="3"/>
      <c r="E20" s="3"/>
      <c r="F20" s="3"/>
      <c r="G20" s="3" t="s">
        <v>53</v>
      </c>
      <c r="H20" t="s">
        <v>78</v>
      </c>
      <c r="I20" t="s">
        <v>105</v>
      </c>
    </row>
    <row r="21" spans="1:9" x14ac:dyDescent="0.35">
      <c r="A21" s="3" t="s">
        <v>54</v>
      </c>
      <c r="B21" s="3"/>
      <c r="C21" s="3"/>
      <c r="D21" s="3"/>
      <c r="E21" s="3"/>
      <c r="F21" s="3"/>
      <c r="G21" s="3" t="s">
        <v>55</v>
      </c>
      <c r="H21" t="s">
        <v>106</v>
      </c>
      <c r="I21" t="s">
        <v>107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3" sqref="G3:G6"/>
    </sheetView>
  </sheetViews>
  <sheetFormatPr defaultRowHeight="14.5" x14ac:dyDescent="0.35"/>
  <cols>
    <col min="1" max="2" width="15.54296875" customWidth="1"/>
    <col min="3" max="4" width="10.7265625" customWidth="1"/>
    <col min="5" max="6" width="12.90625" bestFit="1" customWidth="1"/>
  </cols>
  <sheetData>
    <row r="1" spans="1:7" ht="21" customHeight="1" x14ac:dyDescent="0.35">
      <c r="A1" s="2" t="s">
        <v>1</v>
      </c>
      <c r="B1" s="2" t="s">
        <v>2</v>
      </c>
      <c r="C1" s="2" t="s">
        <v>3</v>
      </c>
      <c r="D1" s="2"/>
    </row>
    <row r="2" spans="1:7" x14ac:dyDescent="0.35">
      <c r="A2" s="1" t="s">
        <v>4</v>
      </c>
      <c r="B2" s="1" t="s">
        <v>5</v>
      </c>
      <c r="C2" s="5">
        <v>2500</v>
      </c>
      <c r="D2" s="4"/>
      <c r="E2" s="6" t="s">
        <v>1</v>
      </c>
      <c r="F2" s="6" t="s">
        <v>2</v>
      </c>
      <c r="G2" s="6" t="s">
        <v>0</v>
      </c>
    </row>
    <row r="3" spans="1:7" x14ac:dyDescent="0.35">
      <c r="A3" s="1" t="s">
        <v>6</v>
      </c>
      <c r="B3" s="1" t="s">
        <v>7</v>
      </c>
      <c r="C3" s="5">
        <v>1200</v>
      </c>
      <c r="D3" s="4"/>
      <c r="E3" s="7" t="s">
        <v>12</v>
      </c>
      <c r="F3" t="str">
        <f>VLOOKUP(E3, A$2:C$9, 2, FALSE)</f>
        <v>Laptop Stand</v>
      </c>
    </row>
    <row r="4" spans="1:7" x14ac:dyDescent="0.35">
      <c r="A4" s="1" t="s">
        <v>8</v>
      </c>
      <c r="B4" s="1" t="s">
        <v>9</v>
      </c>
      <c r="C4" s="1">
        <v>800</v>
      </c>
      <c r="D4" s="3"/>
      <c r="E4" s="7" t="s">
        <v>18</v>
      </c>
      <c r="F4" t="str">
        <f t="shared" ref="F4:F6" si="0">VLOOKUP(E4, A$2:C$9, 2, FALSE)</f>
        <v>Webcam</v>
      </c>
    </row>
    <row r="5" spans="1:7" x14ac:dyDescent="0.35">
      <c r="A5" s="1" t="s">
        <v>10</v>
      </c>
      <c r="B5" s="1" t="s">
        <v>11</v>
      </c>
      <c r="C5" s="1">
        <v>600</v>
      </c>
      <c r="D5" s="3"/>
      <c r="E5" s="7" t="s">
        <v>6</v>
      </c>
      <c r="F5" t="str">
        <f t="shared" si="0"/>
        <v>Wireless Mouse</v>
      </c>
    </row>
    <row r="6" spans="1:7" x14ac:dyDescent="0.35">
      <c r="A6" s="1" t="s">
        <v>12</v>
      </c>
      <c r="B6" s="1" t="s">
        <v>13</v>
      </c>
      <c r="C6" s="5">
        <v>3000</v>
      </c>
      <c r="D6" s="4"/>
      <c r="E6" s="7" t="s">
        <v>4</v>
      </c>
      <c r="F6" t="str">
        <f t="shared" si="0"/>
        <v>Laptop Bag</v>
      </c>
    </row>
    <row r="7" spans="1:7" x14ac:dyDescent="0.35">
      <c r="A7" s="1" t="s">
        <v>14</v>
      </c>
      <c r="B7" s="1" t="s">
        <v>15</v>
      </c>
      <c r="C7" s="5">
        <v>1800</v>
      </c>
      <c r="D7" s="4"/>
    </row>
    <row r="8" spans="1:7" x14ac:dyDescent="0.35">
      <c r="A8" s="1" t="s">
        <v>16</v>
      </c>
      <c r="B8" s="1" t="s">
        <v>17</v>
      </c>
      <c r="C8" s="5">
        <v>2200</v>
      </c>
      <c r="D8" s="4"/>
    </row>
    <row r="9" spans="1:7" x14ac:dyDescent="0.35">
      <c r="A9" s="1" t="s">
        <v>18</v>
      </c>
      <c r="B9" s="1" t="s">
        <v>19</v>
      </c>
      <c r="C9" s="5">
        <v>2700</v>
      </c>
      <c r="D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Statistical_functions</vt:lpstr>
      <vt:lpstr>Conditional_functions</vt:lpstr>
      <vt:lpstr>Conditional_Aggregation</vt:lpstr>
      <vt:lpstr>Text_functions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2025-12-01T19:00:02Z</dcterms:created>
  <dcterms:modified xsi:type="dcterms:W3CDTF">2026-03-10T03:53:56Z</dcterms:modified>
</cp:coreProperties>
</file>